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e1128c5eb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4dba5bb5d494ed7"/>
    <x:sheet xmlns:r="http://schemas.openxmlformats.org/officeDocument/2006/relationships" name="Inputs" sheetId="2" r:id="R243fa770289042a7"/>
    <x:sheet xmlns:r="http://schemas.openxmlformats.org/officeDocument/2006/relationships" name="Computed Ratios" sheetId="3" r:id="R62a96c3bca7d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00;[Red](0.0000);-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2"/>
      <x:name val="Carlito"/>
    </x:font>
    <x:font>
      <x:b/>
      <x:sz val="15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6F4F1"/>
      </x:patternFill>
    </x:fill>
    <x:fill>
      <x:patternFill patternType="solid">
        <x:fgColor rgb="FFF2CC"/>
      </x:patternFill>
    </x:fill>
    <x:fill>
      <x:patternFill patternType="solid">
        <x:fgColor rgb="0F766E"/>
      </x:patternFill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0" fontId="5" fillId="6" borderId="0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484eaf0444a74" /><Relationship Type="http://schemas.openxmlformats.org/officeDocument/2006/relationships/theme" Target="/xl/theme/theme1.xml" Id="R4de67129b1cc4ba7" /><Relationship Type="http://schemas.openxmlformats.org/officeDocument/2006/relationships/sharedStrings" Target="/xl/sharedStrings.xml" Id="R4ed77e508f614131" /><Relationship Type="http://schemas.openxmlformats.org/officeDocument/2006/relationships/worksheet" Target="/xl/worksheets/sheet1.xml" Id="R54dba5bb5d494ed7" /><Relationship Type="http://schemas.openxmlformats.org/officeDocument/2006/relationships/worksheet" Target="/xl/worksheets/sheet2.xml" Id="R243fa770289042a7" /><Relationship Type="http://schemas.openxmlformats.org/officeDocument/2006/relationships/worksheet" Target="/xl/worksheets/sheet3.xml" Id="R62a96c3bca7d4765" /></Relationships>
</file>

<file path=xl/tables/table1.xml><?xml version="1.0" encoding="utf-8"?>
<x:table xmlns:x="http://schemas.openxmlformats.org/spreadsheetml/2006/main" id="1" name="FinancialInputsTable" displayName="FinancialInputsTable" ref="A3:F29" headerRowCount="1">
  <x:tableColumns count="6">
    <x:tableColumn id="1" name="Line Item"/>
    <x:tableColumn id="2" name="Current Year"/>
    <x:tableColumn id="3" name="Prior Year"/>
    <x:tableColumn id="4" name="Unit"/>
    <x:tableColumn id="5" name="Required?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utedRatiosTable" displayName="ComputedRatiosTable" ref="A3:G67" headerRowCount="1">
  <x:tableColumns count="7">
    <x:tableColumn id="1" name="Feature"/>
    <x:tableColumn id="2" name="Friendly Name"/>
    <x:tableColumn id="3" name="Category"/>
    <x:tableColumn id="4" name="Formula / Meaning"/>
    <x:tableColumn id="5" name="Value"/>
    <x:tableColumn id="6" name="Model Key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6770fff4a42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7a6c34a85641d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3" t="str">
        <x:v>RiskLens AI — Analyst Excel Input Template</x:v>
      </x:c>
    </x:row>
    <x:row r="3">
      <x:c r="A3" s="7" t="str">
        <x:v>Purpose</x:v>
      </x:c>
    </x:row>
    <x:row r="4">
      <x:c r="A4" s="14" t="str">
        <x:v>Fill the Inputs sheet with normal financial statement line items. The Computed Ratios sheet converts those line items into the Attr ratios expected by the RiskLens XGBoost model.</x:v>
      </x:c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5" t="str">
        <x:v>How to use</x:v>
      </x:c>
      <x:c r="B6" s="14"/>
      <x:c r="C6" s="14"/>
      <x:c r="D6" s="14"/>
      <x:c r="E6" s="14"/>
      <x:c r="F6" s="14"/>
    </x:row>
    <x:row r="7">
      <x:c r="A7" s="14" t="str">
        <x:v>1</x:v>
      </x:c>
      <x:c r="B7" s="14" t="str">
        <x:v>Enter figures in the blue cells on the Inputs sheet.</x:v>
      </x:c>
      <x:c r="C7" s="14"/>
      <x:c r="D7" s="14"/>
      <x:c r="E7" s="14"/>
      <x:c r="F7" s="14"/>
    </x:row>
    <x:row r="8">
      <x:c r="A8" s="14" t="str">
        <x:v>2</x:v>
      </x:c>
      <x:c r="B8" s="14" t="str">
        <x:v>Use consistent units. Recommended: currency in $mm / ₹ crore, but keep all rows in the same unit.</x:v>
      </x:c>
      <x:c r="C8" s="14"/>
      <x:c r="D8" s="14"/>
      <x:c r="E8" s="14"/>
      <x:c r="F8" s="14"/>
    </x:row>
    <x:row r="9">
      <x:c r="A9" s="14" t="str">
        <x:v>3</x:v>
      </x:c>
      <x:c r="B9" s="14" t="str">
        <x:v>Keep prior-year sales populated because Attr21 uses current sales / prior-year sales.</x:v>
      </x:c>
      <x:c r="C9" s="14"/>
      <x:c r="D9" s="14"/>
      <x:c r="E9" s="14"/>
      <x:c r="F9" s="14"/>
    </x:row>
    <x:row r="10">
      <x:c r="A10" s="14" t="str">
        <x:v>4</x:v>
      </x:c>
      <x:c r="B10" s="14" t="str">
        <x:v>Review the Computed Ratios sheet. Blank results usually mean a denominator is zero or missing.</x:v>
      </x:c>
      <x:c r="C10" s="14"/>
      <x:c r="D10" s="14"/>
      <x:c r="E10" s="14"/>
      <x:c r="F10" s="14"/>
    </x:row>
    <x:row r="11">
      <x:c r="A11" s="14" t="str">
        <x:v>5</x:v>
      </x:c>
      <x:c r="B11" s="14" t="str">
        <x:v>Upload this Excel file in the RiskLens Streamlit app using Upload Financial Statements Excel.</x:v>
      </x:c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6" t="str">
        <x:v>Important</x:v>
      </x:c>
      <x:c r="B13" s="14"/>
      <x:c r="C13" s="14"/>
      <x:c r="D13" s="14"/>
      <x:c r="E13" s="14"/>
      <x:c r="F13" s="14"/>
    </x:row>
    <x:row r="14">
      <x:c r="A14" s="14" t="str">
        <x:v>Do not rename sheets.</x:v>
      </x:c>
      <x:c r="B14" s="14"/>
      <x:c r="C14" s="14"/>
      <x:c r="D14" s="14"/>
      <x:c r="E14" s="14"/>
      <x:c r="F14" s="14"/>
    </x:row>
    <x:row r="15">
      <x:c r="A15" s="14" t="str">
        <x:v>Do not change the labels in column A of Inputs.</x:v>
      </x:c>
      <x:c r="B15" s="14"/>
      <x:c r="C15" s="14"/>
      <x:c r="D15" s="14"/>
      <x:c r="E15" s="14"/>
      <x:c r="F15" s="14"/>
    </x:row>
    <x:row r="16">
      <x:c r="A16" s="14" t="str">
        <x:v>Hardcoded analyst inputs are blue; formulas are black.</x:v>
      </x:c>
      <x:c r="B16" s="14"/>
      <x:c r="C16" s="14"/>
      <x:c r="D16" s="14"/>
      <x:c r="E16" s="14"/>
      <x:c r="F16" s="14"/>
    </x:row>
  </x:sheetData>
  <x:mergeCells>
    <x:mergeCell ref="A1:F1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42" hidden="0" customWidth="1"/>
  </x:cols>
  <x:sheetData>
    <x:row r="1" ht="26" customHeight="1">
      <x:c r="A1" s="20" t="str">
        <x:v>RiskLens AI — Financial Statement Inputs</x:v>
      </x:c>
    </x:row>
    <x:row r="3">
      <x:c r="A3" s="28" t="str">
        <x:v>Line Item</x:v>
      </x:c>
      <x:c r="B3" s="28" t="str">
        <x:v>Current Year</x:v>
      </x:c>
      <x:c r="C3" s="28" t="str">
        <x:v>Prior Year</x:v>
      </x:c>
      <x:c r="D3" s="28" t="str">
        <x:v>Unit</x:v>
      </x:c>
      <x:c r="E3" s="28" t="str">
        <x:v>Required?</x:v>
      </x:c>
      <x:c r="F3" s="28" t="str">
        <x:v>Notes</x:v>
      </x:c>
    </x:row>
    <x:row r="4">
      <x:c r="A4" s="14" t="str">
        <x:v>Revenue / Sales</x:v>
      </x:c>
      <x:c r="B4" s="36" t="n">
        <x:v>1000</x:v>
      </x:c>
      <x:c r="C4" s="36" t="n">
        <x:v>900</x:v>
      </x:c>
      <x:c r="D4" s="14" t="str">
        <x:v>$mm</x:v>
      </x:c>
      <x:c r="E4" s="14" t="str">
        <x:v>Yes</x:v>
      </x:c>
      <x:c r="F4" s="14" t="str">
        <x:v>Top-line revenue for current and prior period.</x:v>
      </x:c>
    </x:row>
    <x:row r="5">
      <x:c r="A5" s="14" t="str">
        <x:v>Cost of Sales</x:v>
      </x:c>
      <x:c r="B5" s="36" t="n">
        <x:v>650</x:v>
      </x:c>
      <x:c r="C5" s="36" t="n">
        <x:v>590</x:v>
      </x:c>
      <x:c r="D5" s="14" t="str">
        <x:v>$mm</x:v>
      </x:c>
      <x:c r="E5" s="14" t="str">
        <x:v>Yes</x:v>
      </x:c>
      <x:c r="F5" s="14" t="str">
        <x:v>COGS / cost of products sold.</x:v>
      </x:c>
    </x:row>
    <x:row r="6">
      <x:c r="A6" s="14" t="str">
        <x:v>Operating Expenses</x:v>
      </x:c>
      <x:c r="B6" s="36" t="n">
        <x:v>250</x:v>
      </x:c>
      <x:c r="C6" s="36" t="n">
        <x:v>235</x:v>
      </x:c>
      <x:c r="D6" s="14" t="str">
        <x:v>$mm</x:v>
      </x:c>
      <x:c r="E6" s="14" t="str">
        <x:v>Yes</x:v>
      </x:c>
      <x:c r="F6" s="14" t="str">
        <x:v>Operating expenses excluding depreciation where possible.</x:v>
      </x:c>
    </x:row>
    <x:row r="7">
      <x:c r="A7" s="14" t="str">
        <x:v>Net Profit</x:v>
      </x:c>
      <x:c r="B7" s="36" t="n">
        <x:v>55</x:v>
      </x:c>
      <x:c r="C7" s="36" t="n">
        <x:v>48</x:v>
      </x:c>
      <x:c r="D7" s="14" t="str">
        <x:v>$mm</x:v>
      </x:c>
      <x:c r="E7" s="14" t="str">
        <x:v>Yes</x:v>
      </x:c>
      <x:c r="F7" s="14" t="str">
        <x:v>Profit after tax.</x:v>
      </x:c>
    </x:row>
    <x:row r="8">
      <x:c r="A8" s="14" t="str">
        <x:v>Gross Profit</x:v>
      </x:c>
      <x:c r="B8" s="36" t="n">
        <x:v>350</x:v>
      </x:c>
      <x:c r="C8" s="36" t="n">
        <x:v>310</x:v>
      </x:c>
      <x:c r="D8" s="14" t="str">
        <x:v>$mm</x:v>
      </x:c>
      <x:c r="E8" s="14" t="str">
        <x:v>Yes</x:v>
      </x:c>
      <x:c r="F8" s="14" t="str">
        <x:v>Revenue minus cost of sales.</x:v>
      </x:c>
    </x:row>
    <x:row r="9">
      <x:c r="A9" s="14" t="str">
        <x:v>Profit on Sales</x:v>
      </x:c>
      <x:c r="B9" s="36" t="n">
        <x:v>100</x:v>
      </x:c>
      <x:c r="C9" s="36" t="n">
        <x:v>85</x:v>
      </x:c>
      <x:c r="D9" s="14" t="str">
        <x:v>$mm</x:v>
      </x:c>
      <x:c r="E9" s="14" t="str">
        <x:v>Optional</x:v>
      </x:c>
      <x:c r="F9" s="14" t="str">
        <x:v>Operating/sales profit used in selected Polish ratios.</x:v>
      </x:c>
    </x:row>
    <x:row r="10">
      <x:c r="A10" s="14" t="str">
        <x:v>Operating Profit / EBIT</x:v>
      </x:c>
      <x:c r="B10" s="36" t="n">
        <x:v>95</x:v>
      </x:c>
      <x:c r="C10" s="36" t="n">
        <x:v>82</x:v>
      </x:c>
      <x:c r="D10" s="14" t="str">
        <x:v>$mm</x:v>
      </x:c>
      <x:c r="E10" s="14" t="str">
        <x:v>Yes</x:v>
      </x:c>
      <x:c r="F10" s="14" t="str">
        <x:v>Profit before interest and taxes.</x:v>
      </x:c>
    </x:row>
    <x:row r="11">
      <x:c r="A11" s="14" t="str">
        <x:v>EBITDA</x:v>
      </x:c>
      <x:c r="B11" s="36" t="n">
        <x:v>125</x:v>
      </x:c>
      <x:c r="C11" s="36" t="n">
        <x:v>110</x:v>
      </x:c>
      <x:c r="D11" s="14" t="str">
        <x:v>$mm</x:v>
      </x:c>
      <x:c r="E11" s="14" t="str">
        <x:v>Yes</x:v>
      </x:c>
      <x:c r="F11" s="14" t="str">
        <x:v>EBIT + depreciation/amortization.</x:v>
      </x:c>
    </x:row>
    <x:row r="12">
      <x:c r="A12" s="14" t="str">
        <x:v>Depreciation</x:v>
      </x:c>
      <x:c r="B12" s="36" t="n">
        <x:v>30</x:v>
      </x:c>
      <x:c r="C12" s="36" t="n">
        <x:v>28</x:v>
      </x:c>
      <x:c r="D12" s="14" t="str">
        <x:v>$mm</x:v>
      </x:c>
      <x:c r="E12" s="14" t="str">
        <x:v>Yes</x:v>
      </x:c>
      <x:c r="F12" s="14" t="str">
        <x:v>Depreciation and amortization.</x:v>
      </x:c>
    </x:row>
    <x:row r="13">
      <x:c r="A13" s="14" t="str">
        <x:v>Financial Expenses / Interest</x:v>
      </x:c>
      <x:c r="B13" s="36" t="n">
        <x:v>18</x:v>
      </x:c>
      <x:c r="C13" s="36" t="n">
        <x:v>20</x:v>
      </x:c>
      <x:c r="D13" s="14" t="str">
        <x:v>$mm</x:v>
      </x:c>
      <x:c r="E13" s="14" t="str">
        <x:v>Yes</x:v>
      </x:c>
      <x:c r="F13" s="14" t="str">
        <x:v>Interest or financial expenses.</x:v>
      </x:c>
    </x:row>
    <x:row r="14">
      <x:c r="A14" s="14" t="str">
        <x:v>Extraordinary Items</x:v>
      </x:c>
      <x:c r="B14" s="36" t="n">
        <x:v>0</x:v>
      </x:c>
      <x:c r="C14" s="36" t="n">
        <x:v>0</x:v>
      </x:c>
      <x:c r="D14" s="14" t="str">
        <x:v>$mm</x:v>
      </x:c>
      <x:c r="E14" s="14" t="str">
        <x:v>Optional</x:v>
      </x:c>
      <x:c r="F14" s="14" t="str">
        <x:v>Extraordinary gains/losses.</x:v>
      </x:c>
    </x:row>
    <x:row r="15">
      <x:c r="A15" s="14" t="str">
        <x:v>Total Assets</x:v>
      </x:c>
      <x:c r="B15" s="36" t="n">
        <x:v>1400</x:v>
      </x:c>
      <x:c r="C15" s="36" t="n">
        <x:v>1300</x:v>
      </x:c>
      <x:c r="D15" s="14" t="str">
        <x:v>$mm</x:v>
      </x:c>
      <x:c r="E15" s="14" t="str">
        <x:v>Yes</x:v>
      </x:c>
      <x:c r="F15" s="14" t="str">
        <x:v>Total assets.</x:v>
      </x:c>
    </x:row>
    <x:row r="16">
      <x:c r="A16" s="14" t="str">
        <x:v>Fixed Assets</x:v>
      </x:c>
      <x:c r="B16" s="36" t="n">
        <x:v>700</x:v>
      </x:c>
      <x:c r="C16" s="36" t="n">
        <x:v>680</x:v>
      </x:c>
      <x:c r="D16" s="14" t="str">
        <x:v>$mm</x:v>
      </x:c>
      <x:c r="E16" s="14" t="str">
        <x:v>Yes</x:v>
      </x:c>
      <x:c r="F16" s="14" t="str">
        <x:v>Non-current/fixed assets.</x:v>
      </x:c>
    </x:row>
    <x:row r="17">
      <x:c r="A17" s="14" t="str">
        <x:v>Current Assets</x:v>
      </x:c>
      <x:c r="B17" s="36" t="n">
        <x:v>520</x:v>
      </x:c>
      <x:c r="C17" s="36" t="n">
        <x:v>480</x:v>
      </x:c>
      <x:c r="D17" s="14" t="str">
        <x:v>$mm</x:v>
      </x:c>
      <x:c r="E17" s="14" t="str">
        <x:v>Yes</x:v>
      </x:c>
      <x:c r="F17" s="14" t="str">
        <x:v>Current assets.</x:v>
      </x:c>
    </x:row>
    <x:row r="18">
      <x:c r="A18" s="14" t="str">
        <x:v>Inventory</x:v>
      </x:c>
      <x:c r="B18" s="36" t="n">
        <x:v>110</x:v>
      </x:c>
      <x:c r="C18" s="36" t="n">
        <x:v>105</x:v>
      </x:c>
      <x:c r="D18" s="14" t="str">
        <x:v>$mm</x:v>
      </x:c>
      <x:c r="E18" s="14" t="str">
        <x:v>Yes</x:v>
      </x:c>
      <x:c r="F18" s="14" t="str">
        <x:v>Inventory balance.</x:v>
      </x:c>
    </x:row>
    <x:row r="19">
      <x:c r="A19" s="14" t="str">
        <x:v>Receivables</x:v>
      </x:c>
      <x:c r="B19" s="36" t="n">
        <x:v>140</x:v>
      </x:c>
      <x:c r="C19" s="36" t="n">
        <x:v>135</x:v>
      </x:c>
      <x:c r="D19" s="14" t="str">
        <x:v>$mm</x:v>
      </x:c>
      <x:c r="E19" s="14" t="str">
        <x:v>Yes</x:v>
      </x:c>
      <x:c r="F19" s="14" t="str">
        <x:v>Trade receivables.</x:v>
      </x:c>
    </x:row>
    <x:row r="20">
      <x:c r="A20" s="14" t="str">
        <x:v>Cash + Short-term Securities</x:v>
      </x:c>
      <x:c r="B20" s="36" t="n">
        <x:v>85</x:v>
      </x:c>
      <x:c r="C20" s="36" t="n">
        <x:v>75</x:v>
      </x:c>
      <x:c r="D20" s="14" t="str">
        <x:v>$mm</x:v>
      </x:c>
      <x:c r="E20" s="14" t="str">
        <x:v>Yes</x:v>
      </x:c>
      <x:c r="F20" s="14" t="str">
        <x:v>Cash and marketable securities.</x:v>
      </x:c>
    </x:row>
    <x:row r="21">
      <x:c r="A21" s="14" t="str">
        <x:v>Total Liabilities</x:v>
      </x:c>
      <x:c r="B21" s="36" t="n">
        <x:v>820</x:v>
      </x:c>
      <x:c r="C21" s="36" t="n">
        <x:v>790</x:v>
      </x:c>
      <x:c r="D21" s="14" t="str">
        <x:v>$mm</x:v>
      </x:c>
      <x:c r="E21" s="14" t="str">
        <x:v>Yes</x:v>
      </x:c>
      <x:c r="F21" s="14" t="str">
        <x:v>Total liabilities.</x:v>
      </x:c>
    </x:row>
    <x:row r="22">
      <x:c r="A22" s="14" t="str">
        <x:v>Short-term Liabilities</x:v>
      </x:c>
      <x:c r="B22" s="36" t="n">
        <x:v>330</x:v>
      </x:c>
      <x:c r="C22" s="36" t="n">
        <x:v>310</x:v>
      </x:c>
      <x:c r="D22" s="14" t="str">
        <x:v>$mm</x:v>
      </x:c>
      <x:c r="E22" s="14" t="str">
        <x:v>Yes</x:v>
      </x:c>
      <x:c r="F22" s="14" t="str">
        <x:v>Current liabilities.</x:v>
      </x:c>
    </x:row>
    <x:row r="23">
      <x:c r="A23" s="14" t="str">
        <x:v>Long-term Liabilities</x:v>
      </x:c>
      <x:c r="B23" s="36" t="n">
        <x:v>490</x:v>
      </x:c>
      <x:c r="C23" s="36" t="n">
        <x:v>480</x:v>
      </x:c>
      <x:c r="D23" s="14" t="str">
        <x:v>$mm</x:v>
      </x:c>
      <x:c r="E23" s="14" t="str">
        <x:v>Yes</x:v>
      </x:c>
      <x:c r="F23" s="14" t="str">
        <x:v>Long-term liabilities.</x:v>
      </x:c>
    </x:row>
    <x:row r="24">
      <x:c r="A24" s="14" t="str">
        <x:v>Equity</x:v>
      </x:c>
      <x:c r="B24" s="36" t="n">
        <x:v>580</x:v>
      </x:c>
      <x:c r="C24" s="36" t="n">
        <x:v>510</x:v>
      </x:c>
      <x:c r="D24" s="14" t="str">
        <x:v>$mm</x:v>
      </x:c>
      <x:c r="E24" s="14" t="str">
        <x:v>Yes</x:v>
      </x:c>
      <x:c r="F24" s="14" t="str">
        <x:v>Book value of equity.</x:v>
      </x:c>
    </x:row>
    <x:row r="25">
      <x:c r="A25" s="14" t="str">
        <x:v>Share Capital</x:v>
      </x:c>
      <x:c r="B25" s="36" t="n">
        <x:v>250</x:v>
      </x:c>
      <x:c r="C25" s="36" t="n">
        <x:v>250</x:v>
      </x:c>
      <x:c r="D25" s="14" t="str">
        <x:v>$mm</x:v>
      </x:c>
      <x:c r="E25" s="14" t="str">
        <x:v>Optional</x:v>
      </x:c>
      <x:c r="F25" s="14" t="str">
        <x:v>Paid-in share capital.</x:v>
      </x:c>
    </x:row>
    <x:row r="26">
      <x:c r="A26" s="14" t="str">
        <x:v>Retained Earnings</x:v>
      </x:c>
      <x:c r="B26" s="36" t="n">
        <x:v>180</x:v>
      </x:c>
      <x:c r="C26" s="36" t="n">
        <x:v>150</x:v>
      </x:c>
      <x:c r="D26" s="14" t="str">
        <x:v>$mm</x:v>
      </x:c>
      <x:c r="E26" s="14" t="str">
        <x:v>Yes</x:v>
      </x:c>
      <x:c r="F26" s="14" t="str">
        <x:v>Accumulated retained earnings.</x:v>
      </x:c>
    </x:row>
    <x:row r="27">
      <x:c r="A27" s="14" t="str">
        <x:v>Constant Capital</x:v>
      </x:c>
      <x:c r="B27" s="36" t="n">
        <x:v>1070</x:v>
      </x:c>
      <x:c r="C27" s="36" t="n">
        <x:v>990</x:v>
      </x:c>
      <x:c r="D27" s="14" t="str">
        <x:v>$mm</x:v>
      </x:c>
      <x:c r="E27" s="14" t="str">
        <x:v>Optional</x:v>
      </x:c>
      <x:c r="F27" s="14" t="str">
        <x:v>Equity + long-term liabilities.</x:v>
      </x:c>
    </x:row>
    <x:row r="28">
      <x:c r="A28" s="14" t="str">
        <x:v>Working Capital</x:v>
      </x:c>
      <x:c r="B28" s="36" t="n">
        <x:v>190</x:v>
      </x:c>
      <x:c r="C28" s="36" t="n">
        <x:v>170</x:v>
      </x:c>
      <x:c r="D28" s="14" t="str">
        <x:v>$mm</x:v>
      </x:c>
      <x:c r="E28" s="14" t="str">
        <x:v>Yes</x:v>
      </x:c>
      <x:c r="F28" s="14" t="str">
        <x:v>Current assets minus short-term liabilities.</x:v>
      </x:c>
    </x:row>
    <x:row r="29">
      <x:c r="A29" s="14" t="str">
        <x:v>Three-year Gross Profit</x:v>
      </x:c>
      <x:c r="B29" s="36" t="n">
        <x:v>930</x:v>
      </x:c>
      <x:c r="C29" s="36" t="n">
        <x:v>800</x:v>
      </x:c>
      <x:c r="D29" s="14" t="str">
        <x:v>$mm</x:v>
      </x:c>
      <x:c r="E29" s="14" t="str">
        <x:v>Optional</x:v>
      </x:c>
      <x:c r="F29" s="14" t="str">
        <x:v>Sum or average proxy used for Attr24.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806770fff4a42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45" hidden="0" customWidth="1"/>
    <x:col min="5" max="5" width="14" hidden="0" customWidth="1"/>
    <x:col min="6" max="6" width="12" hidden="0" customWidth="1"/>
    <x:col min="7" max="7" width="42" hidden="0" customWidth="1"/>
  </x:cols>
  <x:sheetData>
    <x:row r="1" ht="26" customHeight="1">
      <x:c r="A1" s="20" t="str">
        <x:v>RiskLens AI — Computed Attr Ratios</x:v>
      </x:c>
    </x:row>
    <x:row r="3">
      <x:c r="A3" s="28" t="str">
        <x:v>Feature</x:v>
      </x:c>
      <x:c r="B3" s="28" t="str">
        <x:v>Friendly Name</x:v>
      </x:c>
      <x:c r="C3" s="28" t="str">
        <x:v>Category</x:v>
      </x:c>
      <x:c r="D3" s="28" t="str">
        <x:v>Formula / Meaning</x:v>
      </x:c>
      <x:c r="E3" s="28" t="str">
        <x:v>Value</x:v>
      </x:c>
      <x:c r="F3" s="28" t="str">
        <x:v>Model Key</x:v>
      </x:c>
      <x:c r="G3" s="28" t="str">
        <x:v>Notes</x:v>
      </x:c>
    </x:row>
    <x:row r="4">
      <x:c r="A4" s="14" t="str">
        <x:v>Attr1</x:v>
      </x:c>
      <x:c r="B4" s="14" t="str">
        <x:v>Net Profit / Total Assets</x:v>
      </x:c>
      <x:c r="C4" s="14" t="str">
        <x:v>Profitability</x:v>
      </x:c>
      <x:c r="D4" s="14" t="str">
        <x:v>Return on assets</x:v>
      </x:c>
      <x:c r="E4" s="38" t="n">
        <x:f>IFERROR(VLOOKUP("Net Profit",Inputs!$A$4:$C$29,2,FALSE)/VLOOKUP("Total Assets",Inputs!$A$4:$C$29,2,FALSE),"")</x:f>
        <x:v>0.039285714285714285</x:v>
      </x:c>
      <x:c r="F4" s="14" t="str">
        <x:v>Attr1</x:v>
      </x:c>
      <x:c r="G4" s="14" t="str">
        <x:v>ROA; low/negative increases distress risk.</x:v>
      </x:c>
    </x:row>
    <x:row r="5">
      <x:c r="A5" s="14" t="str">
        <x:v>Attr2</x:v>
      </x:c>
      <x:c r="B5" s="14" t="str">
        <x:v>Total Liabilities / Total Assets</x:v>
      </x:c>
      <x:c r="C5" s="14" t="str">
        <x:v>Leverage</x:v>
      </x:c>
      <x:c r="D5" s="14" t="str">
        <x:v>Debt ratio</x:v>
      </x:c>
      <x:c r="E5" s="38" t="n">
        <x:f>IFERROR(VLOOKUP("Total Liabilities",Inputs!$A$4:$C$29,2,FALSE)/VLOOKUP("Total Assets",Inputs!$A$4:$C$29,2,FALSE),"")</x:f>
        <x:v>0.5857142857142857</x:v>
      </x:c>
      <x:c r="F5" s="14" t="str">
        <x:v>Attr2</x:v>
      </x:c>
      <x:c r="G5" s="14" t="str">
        <x:v>Higher leverage increases distress risk.</x:v>
      </x:c>
    </x:row>
    <x:row r="6">
      <x:c r="A6" s="14" t="str">
        <x:v>Attr3</x:v>
      </x:c>
      <x:c r="B6" s="14" t="str">
        <x:v>Working Capital / Total Assets</x:v>
      </x:c>
      <x:c r="C6" s="14" t="str">
        <x:v>Liquidity</x:v>
      </x:c>
      <x:c r="D6" s="14" t="str">
        <x:v>Working capital intensity</x:v>
      </x:c>
      <x:c r="E6" s="38" t="n">
        <x:f>IFERROR(VLOOKUP("Working Capital",Inputs!$A$4:$C$29,2,FALSE)/VLOOKUP("Total Assets",Inputs!$A$4:$C$29,2,FALSE),"")</x:f>
        <x:v>0.1357142857142857</x:v>
      </x:c>
      <x:c r="F6" s="14" t="str">
        <x:v>Attr3</x:v>
      </x:c>
      <x:c r="G6" s="14" t="str">
        <x:v>Negative value indicates liquidity stress.</x:v>
      </x:c>
    </x:row>
    <x:row r="7">
      <x:c r="A7" s="14" t="str">
        <x:v>Attr4</x:v>
      </x:c>
      <x:c r="B7" s="14" t="str">
        <x:v>Current Assets / Short-term Liabilities</x:v>
      </x:c>
      <x:c r="C7" s="14" t="str">
        <x:v>Liquidity</x:v>
      </x:c>
      <x:c r="D7" s="14" t="str">
        <x:v>Current ratio</x:v>
      </x:c>
      <x:c r="E7" s="38" t="n">
        <x:f>IFERROR(VLOOKUP("Current Assets",Inputs!$A$4:$C$29,2,FALSE)/VLOOKUP("Short-term Liabilities",Inputs!$A$4:$C$29,2,FALSE),"")</x:f>
        <x:v>1.5757575757575757</x:v>
      </x:c>
      <x:c r="F7" s="14" t="str">
        <x:v>Attr4</x:v>
      </x:c>
      <x:c r="G7" s="14" t="str">
        <x:v>Measures short-term solvency.</x:v>
      </x:c>
    </x:row>
    <x:row r="8">
      <x:c r="A8" s="14" t="str">
        <x:v>Attr5</x:v>
      </x:c>
      <x:c r="B8" s="14" t="str">
        <x:v>Cash conversion buffer</x:v>
      </x:c>
      <x:c r="C8" s="14" t="str">
        <x:v>Liquidity</x:v>
      </x:c>
      <x:c r="D8" s="14" t="str">
        <x:v>[(Cash + securities + receivables - short-term liabilities)/(operating expenses - depreciation)] × 365</x:v>
      </x:c>
      <x:c r="E8" s="38" t="n">
        <x:f>IFERROR((VLOOKUP("Cash + Short-term Securities",Inputs!$A$4:$C$29,2,FALSE)+VLOOKUP("Receivables",Inputs!$A$4:$C$29,2,FALSE)-VLOOKUP("Short-term Liabilities",Inputs!$A$4:$C$29,2,FALSE))/(VLOOKUP("Operating Expenses",Inputs!$A$4:$C$29,2,FALSE)-VLOOKUP("Depreciation",Inputs!$A$4:$C$29,2,FALSE))*365,"")</x:f>
        <x:v>-174.20454545454547</x:v>
      </x:c>
      <x:c r="F8" s="14" t="str">
        <x:v>Attr5</x:v>
      </x:c>
      <x:c r="G8" s="14" t="str">
        <x:v>Days of liquidity buffer.</x:v>
      </x:c>
    </x:row>
    <x:row r="9">
      <x:c r="A9" s="14" t="str">
        <x:v>Attr6</x:v>
      </x:c>
      <x:c r="B9" s="14" t="str">
        <x:v>Retained Earnings / Total Assets</x:v>
      </x:c>
      <x:c r="C9" s="14" t="str">
        <x:v>Profitability</x:v>
      </x:c>
      <x:c r="D9" s="14" t="str">
        <x:v>Accumulated profitability</x:v>
      </x:c>
      <x:c r="E9" s="38" t="n">
        <x:f>IFERROR(VLOOKUP("Retained Earnings",Inputs!$A$4:$C$29,2,FALSE)/VLOOKUP("Total Assets",Inputs!$A$4:$C$29,2,FALSE),"")</x:f>
        <x:v>0.12857142857142856</x:v>
      </x:c>
      <x:c r="F9" s="14" t="str">
        <x:v>Attr6</x:v>
      </x:c>
      <x:c r="G9" s="14" t="str">
        <x:v>Captures historical profit retention.</x:v>
      </x:c>
    </x:row>
    <x:row r="10">
      <x:c r="A10" s="14" t="str">
        <x:v>Attr7</x:v>
      </x:c>
      <x:c r="B10" s="14" t="str">
        <x:v>EBIT / Total Assets</x:v>
      </x:c>
      <x:c r="C10" s="14" t="str">
        <x:v>Profitability</x:v>
      </x:c>
      <x:c r="D10" s="14" t="str">
        <x:v>Operating return on assets</x:v>
      </x:c>
      <x:c r="E10" s="38" t="n">
        <x:f>IFERROR(VLOOKUP("Operating Profit / EBIT",Inputs!$A$4:$C$29,2,FALSE)/VLOOKUP("Total Assets",Inputs!$A$4:$C$29,2,FALSE),"")</x:f>
        <x:v>0.06785714285714285</x:v>
      </x:c>
      <x:c r="F10" s="14" t="str">
        <x:v>Attr7</x:v>
      </x:c>
      <x:c r="G10" s="14" t="str">
        <x:v>Core business profitability.</x:v>
      </x:c>
    </x:row>
    <x:row r="11">
      <x:c r="A11" s="14" t="str">
        <x:v>Attr8</x:v>
      </x:c>
      <x:c r="B11" s="14" t="str">
        <x:v>Equity / Total Liabilities</x:v>
      </x:c>
      <x:c r="C11" s="14" t="str">
        <x:v>Leverage</x:v>
      </x:c>
      <x:c r="D11" s="14" t="str">
        <x:v>Equity coverage of liabilities</x:v>
      </x:c>
      <x:c r="E11" s="38" t="n">
        <x:f>IFERROR(VLOOKUP("Equity",Inputs!$A$4:$C$29,2,FALSE)/VLOOKUP("Total Liabilities",Inputs!$A$4:$C$29,2,FALSE),"")</x:f>
        <x:v>0.7073170731707317</x:v>
      </x:c>
      <x:c r="F11" s="14" t="str">
        <x:v>Attr8</x:v>
      </x:c>
      <x:c r="G11" s="14" t="str">
        <x:v>Lower values indicate weaker solvency cushion.</x:v>
      </x:c>
    </x:row>
    <x:row r="12">
      <x:c r="A12" s="14" t="str">
        <x:v>Attr9</x:v>
      </x:c>
      <x:c r="B12" s="14" t="str">
        <x:v>Sales / Total Assets</x:v>
      </x:c>
      <x:c r="C12" s="14" t="str">
        <x:v>Efficiency</x:v>
      </x:c>
      <x:c r="D12" s="14" t="str">
        <x:v>Asset turnover</x:v>
      </x:c>
      <x:c r="E12" s="38" t="n">
        <x:f>IFERROR(VLOOKUP("Revenue / Sales",Inputs!$A$4:$C$29,2,FALSE)/VLOOKUP("Total Assets",Inputs!$A$4:$C$29,2,FALSE),"")</x:f>
        <x:v>0.7142857142857143</x:v>
      </x:c>
      <x:c r="F12" s="14" t="str">
        <x:v>Attr9</x:v>
      </x:c>
      <x:c r="G12" s="14" t="str">
        <x:v>Revenue generation per asset base.</x:v>
      </x:c>
    </x:row>
    <x:row r="13">
      <x:c r="A13" s="14" t="str">
        <x:v>Attr10</x:v>
      </x:c>
      <x:c r="B13" s="14" t="str">
        <x:v>Equity / Total Assets</x:v>
      </x:c>
      <x:c r="C13" s="14" t="str">
        <x:v>Leverage</x:v>
      </x:c>
      <x:c r="D13" s="14" t="str">
        <x:v>Equity ratio</x:v>
      </x:c>
      <x:c r="E13" s="38" t="n">
        <x:f>IFERROR(VLOOKUP("Equity",Inputs!$A$4:$C$29,2,FALSE)/VLOOKUP("Total Assets",Inputs!$A$4:$C$29,2,FALSE),"")</x:f>
        <x:v>0.4142857142857143</x:v>
      </x:c>
      <x:c r="F13" s="14" t="str">
        <x:v>Attr10</x:v>
      </x:c>
      <x:c r="G13" s="14" t="str">
        <x:v>Higher equity buffer reduces risk.</x:v>
      </x:c>
    </x:row>
    <x:row r="14">
      <x:c r="A14" s="14" t="str">
        <x:v>Attr11</x:v>
      </x:c>
      <x:c r="B14" s="14" t="str">
        <x:v>Profit + Extraordinary + Interest / Assets</x:v>
      </x:c>
      <x:c r="C14" s="14" t="str">
        <x:v>Profitability</x:v>
      </x:c>
      <x:c r="D14" s="14" t="str">
        <x:v>Profitability adjusted for extraordinary items and interest</x:v>
      </x:c>
      <x:c r="E14" s="38" t="n">
        <x:f>IFERROR((VLOOKUP("Gross Profit",Inputs!$A$4:$C$29,2,FALSE)+VLOOKUP("Extraordinary Items",Inputs!$A$4:$C$29,2,FALSE)+VLOOKUP("Financial Expenses / Interest",Inputs!$A$4:$C$29,2,FALSE))/VLOOKUP("Total Assets",Inputs!$A$4:$C$29,2,FALSE),"")</x:f>
        <x:v>0.26285714285714284</x:v>
      </x:c>
      <x:c r="F14" s="14" t="str">
        <x:v>Attr11</x:v>
      </x:c>
      <x:c r="G14" s="14" t="str">
        <x:v>Adjusted earnings power.</x:v>
      </x:c>
    </x:row>
    <x:row r="15">
      <x:c r="A15" s="14" t="str">
        <x:v>Attr12</x:v>
      </x:c>
      <x:c r="B15" s="14" t="str">
        <x:v>Gross Profit / Short-term Liabilities</x:v>
      </x:c>
      <x:c r="C15" s="14" t="str">
        <x:v>Liquidity</x:v>
      </x:c>
      <x:c r="D15" s="14" t="str">
        <x:v>Gross profit coverage of current liabilities</x:v>
      </x:c>
      <x:c r="E15" s="38" t="n">
        <x:f>IFERROR(VLOOKUP("Gross Profit",Inputs!$A$4:$C$29,2,FALSE)/VLOOKUP("Short-term Liabilities",Inputs!$A$4:$C$29,2,FALSE),"")</x:f>
        <x:v>1.0606060606060606</x:v>
      </x:c>
      <x:c r="F15" s="14" t="str">
        <x:v>Attr12</x:v>
      </x:c>
      <x:c r="G15" s="14" t="str">
        <x:v>Earnings coverage of near-term debt.</x:v>
      </x:c>
    </x:row>
    <x:row r="16">
      <x:c r="A16" s="14" t="str">
        <x:v>Attr13</x:v>
      </x:c>
      <x:c r="B16" s="14" t="str">
        <x:v>EBITDA Margin</x:v>
      </x:c>
      <x:c r="C16" s="14" t="str">
        <x:v>Profitability</x:v>
      </x:c>
      <x:c r="D16" s="14" t="str">
        <x:v>EBITDA / Sales</x:v>
      </x:c>
      <x:c r="E16" s="38" t="n">
        <x:f>IFERROR(VLOOKUP("EBITDA",Inputs!$A$4:$C$29,2,FALSE)/VLOOKUP("Revenue / Sales",Inputs!$A$4:$C$29,2,FALSE),"")</x:f>
        <x:v>0.125</x:v>
      </x:c>
      <x:c r="F16" s="14" t="str">
        <x:v>Attr13</x:v>
      </x:c>
      <x:c r="G16" s="14" t="str">
        <x:v>Cash earnings margin.</x:v>
      </x:c>
    </x:row>
    <x:row r="17">
      <x:c r="A17" s="14" t="str">
        <x:v>Attr14</x:v>
      </x:c>
      <x:c r="B17" s="14" t="str">
        <x:v>Gross Profit + Interest / Assets</x:v>
      </x:c>
      <x:c r="C17" s="14" t="str">
        <x:v>Profitability</x:v>
      </x:c>
      <x:c r="D17" s="14" t="str">
        <x:v>Gross profit plus interest over assets</x:v>
      </x:c>
      <x:c r="E17" s="38" t="n">
        <x:f>IFERROR((VLOOKUP("Gross Profit",Inputs!$A$4:$C$29,2,FALSE)+VLOOKUP("Financial Expenses / Interest",Inputs!$A$4:$C$29,2,FALSE))/VLOOKUP("Total Assets",Inputs!$A$4:$C$29,2,FALSE),"")</x:f>
        <x:v>0.26285714285714284</x:v>
      </x:c>
      <x:c r="F17" s="14" t="str">
        <x:v>Attr14</x:v>
      </x:c>
      <x:c r="G17" s="14" t="str">
        <x:v>Asset profitability proxy.</x:v>
      </x:c>
    </x:row>
    <x:row r="18">
      <x:c r="A18" s="14" t="str">
        <x:v>Attr15</x:v>
      </x:c>
      <x:c r="B18" s="14" t="str">
        <x:v>Debt Payback Days</x:v>
      </x:c>
      <x:c r="C18" s="14" t="str">
        <x:v>Leverage</x:v>
      </x:c>
      <x:c r="D18" s="14" t="str">
        <x:v>Total liabilities × 365 / EBITDA</x:v>
      </x:c>
      <x:c r="E18" s="38" t="n">
        <x:f>IFERROR(VLOOKUP("Total Liabilities",Inputs!$A$4:$C$29,2,FALSE)*365/VLOOKUP("EBITDA",Inputs!$A$4:$C$29,2,FALSE),"")</x:f>
        <x:v>2394.4</x:v>
      </x:c>
      <x:c r="F18" s="14" t="str">
        <x:v>Attr15</x:v>
      </x:c>
      <x:c r="G18" s="14" t="str">
        <x:v>Higher means longer debt payback.</x:v>
      </x:c>
    </x:row>
    <x:row r="19">
      <x:c r="A19" s="14" t="str">
        <x:v>Attr16</x:v>
      </x:c>
      <x:c r="B19" s="14" t="str">
        <x:v>EBITDA / Total Liabilities</x:v>
      </x:c>
      <x:c r="C19" s="14" t="str">
        <x:v>Leverage</x:v>
      </x:c>
      <x:c r="D19" s="14" t="str">
        <x:v>Debt coverage</x:v>
      </x:c>
      <x:c r="E19" s="38" t="n">
        <x:f>IFERROR(VLOOKUP("EBITDA",Inputs!$A$4:$C$29,2,FALSE)/VLOOKUP("Total Liabilities",Inputs!$A$4:$C$29,2,FALSE),"")</x:f>
        <x:v>0.1524390243902439</x:v>
      </x:c>
      <x:c r="F19" s="14" t="str">
        <x:v>Attr16</x:v>
      </x:c>
      <x:c r="G19" s="14" t="str">
        <x:v>Cash earnings to debt.</x:v>
      </x:c>
    </x:row>
    <x:row r="20">
      <x:c r="A20" s="14" t="str">
        <x:v>Attr17</x:v>
      </x:c>
      <x:c r="B20" s="14" t="str">
        <x:v>Total Assets / Total Liabilities</x:v>
      </x:c>
      <x:c r="C20" s="14" t="str">
        <x:v>Leverage</x:v>
      </x:c>
      <x:c r="D20" s="14" t="str">
        <x:v>Asset coverage of liabilities</x:v>
      </x:c>
      <x:c r="E20" s="38" t="n">
        <x:f>IFERROR(VLOOKUP("Total Assets",Inputs!$A$4:$C$29,2,FALSE)/VLOOKUP("Total Liabilities",Inputs!$A$4:$C$29,2,FALSE),"")</x:f>
        <x:v>1.7073170731707317</x:v>
      </x:c>
      <x:c r="F20" s="14" t="str">
        <x:v>Attr17</x:v>
      </x:c>
      <x:c r="G20" s="14" t="str">
        <x:v>Higher values reduce insolvency risk.</x:v>
      </x:c>
    </x:row>
    <x:row r="21">
      <x:c r="A21" s="14" t="str">
        <x:v>Attr18</x:v>
      </x:c>
      <x:c r="B21" s="14" t="str">
        <x:v>Gross Profit / Total Assets</x:v>
      </x:c>
      <x:c r="C21" s="14" t="str">
        <x:v>Profitability</x:v>
      </x:c>
      <x:c r="D21" s="14" t="str">
        <x:v>Gross return on assets</x:v>
      </x:c>
      <x:c r="E21" s="38" t="n">
        <x:f>IFERROR(VLOOKUP("Gross Profit",Inputs!$A$4:$C$29,2,FALSE)/VLOOKUP("Total Assets",Inputs!$A$4:$C$29,2,FALSE),"")</x:f>
        <x:v>0.25</x:v>
      </x:c>
      <x:c r="F21" s="14" t="str">
        <x:v>Attr18</x:v>
      </x:c>
      <x:c r="G21" s="14" t="str">
        <x:v>Gross profitability per asset.</x:v>
      </x:c>
    </x:row>
    <x:row r="22">
      <x:c r="A22" s="14" t="str">
        <x:v>Attr19</x:v>
      </x:c>
      <x:c r="B22" s="14" t="str">
        <x:v>Gross Profit / Sales</x:v>
      </x:c>
      <x:c r="C22" s="14" t="str">
        <x:v>Profitability</x:v>
      </x:c>
      <x:c r="D22" s="14" t="str">
        <x:v>Gross margin</x:v>
      </x:c>
      <x:c r="E22" s="38" t="n">
        <x:f>IFERROR(VLOOKUP("Gross Profit",Inputs!$A$4:$C$29,2,FALSE)/VLOOKUP("Revenue / Sales",Inputs!$A$4:$C$29,2,FALSE),"")</x:f>
        <x:v>0.35</x:v>
      </x:c>
      <x:c r="F22" s="14" t="str">
        <x:v>Attr19</x:v>
      </x:c>
      <x:c r="G22" s="14" t="str">
        <x:v>Core product profitability.</x:v>
      </x:c>
    </x:row>
    <x:row r="23">
      <x:c r="A23" s="14" t="str">
        <x:v>Attr20</x:v>
      </x:c>
      <x:c r="B23" s="14" t="str">
        <x:v>Inventory Days</x:v>
      </x:c>
      <x:c r="C23" s="14" t="str">
        <x:v>Efficiency</x:v>
      </x:c>
      <x:c r="D23" s="14" t="str">
        <x:v>Inventory × 365 / Sales</x:v>
      </x:c>
      <x:c r="E23" s="38" t="n">
        <x:f>IFERROR(VLOOKUP("Inventory",Inputs!$A$4:$C$29,2,FALSE)*365/VLOOKUP("Revenue / Sales",Inputs!$A$4:$C$29,2,FALSE),"")</x:f>
        <x:v>40.15</x:v>
      </x:c>
      <x:c r="F23" s="14" t="str">
        <x:v>Attr20</x:v>
      </x:c>
      <x:c r="G23" s="14" t="str">
        <x:v>Slow inventory turnover increases risk.</x:v>
      </x:c>
    </x:row>
    <x:row r="24">
      <x:c r="A24" s="14" t="str">
        <x:v>Attr21</x:v>
      </x:c>
      <x:c r="B24" s="14" t="str">
        <x:v>Sales Growth Ratio</x:v>
      </x:c>
      <x:c r="C24" s="14" t="str">
        <x:v>Growth</x:v>
      </x:c>
      <x:c r="D24" s="14" t="str">
        <x:v>Current sales / Prior-year sales</x:v>
      </x:c>
      <x:c r="E24" s="38" t="n">
        <x:f>IFERROR(VLOOKUP("Revenue / Sales",Inputs!$A$4:$C$29,2,FALSE)/VLOOKUP("Revenue / Sales",Inputs!$A$4:$C$29,3,FALSE),"")</x:f>
        <x:v>1.1111111111111112</x:v>
      </x:c>
      <x:c r="F24" s="14" t="str">
        <x:v>Attr21</x:v>
      </x:c>
      <x:c r="G24" s="14" t="str">
        <x:v>Below 1 indicates revenue decline.</x:v>
      </x:c>
    </x:row>
    <x:row r="25">
      <x:c r="A25" s="14" t="str">
        <x:v>Attr22</x:v>
      </x:c>
      <x:c r="B25" s="14" t="str">
        <x:v>Operating Profit / Assets</x:v>
      </x:c>
      <x:c r="C25" s="14" t="str">
        <x:v>Profitability</x:v>
      </x:c>
      <x:c r="D25" s="14" t="str">
        <x:v>Operating profit / total assets</x:v>
      </x:c>
      <x:c r="E25" s="38" t="n">
        <x:f>IFERROR(VLOOKUP("Operating Profit / EBIT",Inputs!$A$4:$C$29,2,FALSE)/VLOOKUP("Total Assets",Inputs!$A$4:$C$29,2,FALSE),"")</x:f>
        <x:v>0.06785714285714285</x:v>
      </x:c>
      <x:c r="F25" s="14" t="str">
        <x:v>Attr22</x:v>
      </x:c>
      <x:c r="G25" s="14" t="str">
        <x:v>Operating profitability.</x:v>
      </x:c>
    </x:row>
    <x:row r="26">
      <x:c r="A26" s="14" t="str">
        <x:v>Attr23</x:v>
      </x:c>
      <x:c r="B26" s="14" t="str">
        <x:v>Net Profit / Sales</x:v>
      </x:c>
      <x:c r="C26" s="14" t="str">
        <x:v>Profitability</x:v>
      </x:c>
      <x:c r="D26" s="14" t="str">
        <x:v>Net margin</x:v>
      </x:c>
      <x:c r="E26" s="38" t="n">
        <x:f>IFERROR(VLOOKUP("Net Profit",Inputs!$A$4:$C$29,2,FALSE)/VLOOKUP("Revenue / Sales",Inputs!$A$4:$C$29,2,FALSE),"")</x:f>
        <x:v>0.055</x:v>
      </x:c>
      <x:c r="F26" s="14" t="str">
        <x:v>Attr23</x:v>
      </x:c>
      <x:c r="G26" s="14" t="str">
        <x:v>Bottom-line margin.</x:v>
      </x:c>
    </x:row>
    <x:row r="27">
      <x:c r="A27" s="14" t="str">
        <x:v>Attr24</x:v>
      </x:c>
      <x:c r="B27" s="14" t="str">
        <x:v>Three-year Gross Profit / Assets</x:v>
      </x:c>
      <x:c r="C27" s="14" t="str">
        <x:v>Profitability</x:v>
      </x:c>
      <x:c r="D27" s="14" t="str">
        <x:v>Three-year gross profit / total assets</x:v>
      </x:c>
      <x:c r="E27" s="38" t="n">
        <x:f>IFERROR(VLOOKUP("Three-year Gross Profit",Inputs!$A$4:$C$29,2,FALSE)/VLOOKUP("Total Assets",Inputs!$A$4:$C$29,2,FALSE),"")</x:f>
        <x:v>0.6642857142857143</x:v>
      </x:c>
      <x:c r="F27" s="14" t="str">
        <x:v>Attr24</x:v>
      </x:c>
      <x:c r="G27" s="14" t="str">
        <x:v>Sustained gross profitability.</x:v>
      </x:c>
    </x:row>
    <x:row r="28">
      <x:c r="A28" s="14" t="str">
        <x:v>Attr25</x:v>
      </x:c>
      <x:c r="B28" s="14" t="str">
        <x:v>Equity minus Share Capital / Assets</x:v>
      </x:c>
      <x:c r="C28" s="14" t="str">
        <x:v>Leverage</x:v>
      </x:c>
      <x:c r="D28" s="14" t="str">
        <x:v>(Equity - share capital) / total assets</x:v>
      </x:c>
      <x:c r="E28" s="38" t="n">
        <x:f>IFERROR((VLOOKUP("Equity",Inputs!$A$4:$C$29,2,FALSE)-VLOOKUP("Share Capital",Inputs!$A$4:$C$29,2,FALSE))/VLOOKUP("Total Assets",Inputs!$A$4:$C$29,2,FALSE),"")</x:f>
        <x:v>0.2357142857142857</x:v>
      </x:c>
      <x:c r="F28" s="14" t="str">
        <x:v>Attr25</x:v>
      </x:c>
      <x:c r="G28" s="14" t="str">
        <x:v>Value creation beyond paid-in capital.</x:v>
      </x:c>
    </x:row>
    <x:row r="29">
      <x:c r="A29" s="14" t="str">
        <x:v>Attr26</x:v>
      </x:c>
      <x:c r="B29" s="14" t="str">
        <x:v>Net Profit + Depreciation / Liabilities</x:v>
      </x:c>
      <x:c r="C29" s="14" t="str">
        <x:v>Cash Flow</x:v>
      </x:c>
      <x:c r="D29" s="14" t="str">
        <x:v>Cash earnings / liabilities</x:v>
      </x:c>
      <x:c r="E29" s="38" t="n">
        <x:f>IFERROR((VLOOKUP("Net Profit",Inputs!$A$4:$C$29,2,FALSE)+VLOOKUP("Depreciation",Inputs!$A$4:$C$29,2,FALSE))/VLOOKUP("Total Liabilities",Inputs!$A$4:$C$29,2,FALSE),"")</x:f>
        <x:v>0.10365853658536585</x:v>
      </x:c>
      <x:c r="F29" s="14" t="str">
        <x:v>Attr26</x:v>
      </x:c>
      <x:c r="G29" s="14" t="str">
        <x:v>Cash coverage of liabilities.</x:v>
      </x:c>
    </x:row>
    <x:row r="30">
      <x:c r="A30" s="14" t="str">
        <x:v>Attr27</x:v>
      </x:c>
      <x:c r="B30" s="14" t="str">
        <x:v>Operating Profit / Financial Expenses</x:v>
      </x:c>
      <x:c r="C30" s="14" t="str">
        <x:v>Leverage</x:v>
      </x:c>
      <x:c r="D30" s="14" t="str">
        <x:v>Interest coverage</x:v>
      </x:c>
      <x:c r="E30" s="38" t="n">
        <x:f>IFERROR(VLOOKUP("Operating Profit / EBIT",Inputs!$A$4:$C$29,2,FALSE)/VLOOKUP("Financial Expenses / Interest",Inputs!$A$4:$C$29,2,FALSE),"")</x:f>
        <x:v>5.277777777777778</x:v>
      </x:c>
      <x:c r="F30" s="14" t="str">
        <x:v>Attr27</x:v>
      </x:c>
      <x:c r="G30" s="14" t="str">
        <x:v>Ability to cover interest expense.</x:v>
      </x:c>
    </x:row>
    <x:row r="31">
      <x:c r="A31" s="14" t="str">
        <x:v>Attr28</x:v>
      </x:c>
      <x:c r="B31" s="14" t="str">
        <x:v>Working Capital / Fixed Assets</x:v>
      </x:c>
      <x:c r="C31" s="14" t="str">
        <x:v>Liquidity</x:v>
      </x:c>
      <x:c r="D31" s="14" t="str">
        <x:v>Working capital vs fixed assets</x:v>
      </x:c>
      <x:c r="E31" s="38" t="n">
        <x:f>IFERROR(VLOOKUP("Working Capital",Inputs!$A$4:$C$29,2,FALSE)/VLOOKUP("Fixed Assets",Inputs!$A$4:$C$29,2,FALSE),"")</x:f>
        <x:v>0.2714285714285714</x:v>
      </x:c>
      <x:c r="F31" s="14" t="str">
        <x:v>Attr28</x:v>
      </x:c>
      <x:c r="G31" s="14" t="str">
        <x:v>Liquidity relative to asset structure.</x:v>
      </x:c>
    </x:row>
    <x:row r="32">
      <x:c r="A32" s="14" t="str">
        <x:v>Attr29</x:v>
      </x:c>
      <x:c r="B32" s="14" t="str">
        <x:v>Log Total Assets</x:v>
      </x:c>
      <x:c r="C32" s="14" t="str">
        <x:v>Size</x:v>
      </x:c>
      <x:c r="D32" s="14" t="str">
        <x:v>Natural log of total assets</x:v>
      </x:c>
      <x:c r="E32" s="38" t="n">
        <x:f>IFERROR(LN(VLOOKUP("Total Assets",Inputs!$A$4:$C$29,2,FALSE)),"")</x:f>
        <x:v>7.24422751560335</x:v>
      </x:c>
      <x:c r="F32" s="14" t="str">
        <x:v>Attr29</x:v>
      </x:c>
      <x:c r="G32" s="14" t="str">
        <x:v>Company size proxy.</x:v>
      </x:c>
    </x:row>
    <x:row r="33">
      <x:c r="A33" s="14" t="str">
        <x:v>Attr30</x:v>
      </x:c>
      <x:c r="B33" s="14" t="str">
        <x:v>Liabilities minus Cash / Sales</x:v>
      </x:c>
      <x:c r="C33" s="14" t="str">
        <x:v>Leverage</x:v>
      </x:c>
      <x:c r="D33" s="14" t="str">
        <x:v>Net liabilities / sales</x:v>
      </x:c>
      <x:c r="E33" s="38" t="n">
        <x:f>IFERROR((VLOOKUP("Total Liabilities",Inputs!$A$4:$C$29,2,FALSE)-VLOOKUP("Cash + Short-term Securities",Inputs!$A$4:$C$29,2,FALSE))/VLOOKUP("Revenue / Sales",Inputs!$A$4:$C$29,2,FALSE),"")</x:f>
        <x:v>0.735</x:v>
      </x:c>
      <x:c r="F33" s="14" t="str">
        <x:v>Attr30</x:v>
      </x:c>
      <x:c r="G33" s="14" t="str">
        <x:v>Debt burden relative to sales.</x:v>
      </x:c>
    </x:row>
    <x:row r="34">
      <x:c r="A34" s="14" t="str">
        <x:v>Attr31</x:v>
      </x:c>
      <x:c r="B34" s="14" t="str">
        <x:v>Gross Profit + Interest / Sales</x:v>
      </x:c>
      <x:c r="C34" s="14" t="str">
        <x:v>Profitability</x:v>
      </x:c>
      <x:c r="D34" s="14" t="str">
        <x:v>Adjusted gross margin</x:v>
      </x:c>
      <x:c r="E34" s="38" t="n">
        <x:f>IFERROR((VLOOKUP("Gross Profit",Inputs!$A$4:$C$29,2,FALSE)+VLOOKUP("Financial Expenses / Interest",Inputs!$A$4:$C$29,2,FALSE))/VLOOKUP("Revenue / Sales",Inputs!$A$4:$C$29,2,FALSE),"")</x:f>
        <x:v>0.368</x:v>
      </x:c>
      <x:c r="F34" s="14" t="str">
        <x:v>Attr31</x:v>
      </x:c>
      <x:c r="G34" s="14" t="str">
        <x:v>Profitability after adding back financing cost.</x:v>
      </x:c>
    </x:row>
    <x:row r="35">
      <x:c r="A35" s="14" t="str">
        <x:v>Attr32</x:v>
      </x:c>
      <x:c r="B35" s="14" t="str">
        <x:v>Days Payable / COGS</x:v>
      </x:c>
      <x:c r="C35" s="14" t="str">
        <x:v>Efficiency</x:v>
      </x:c>
      <x:c r="D35" s="14" t="str">
        <x:v>Current liabilities × 365 / cost of sales</x:v>
      </x:c>
      <x:c r="E35" s="38" t="n">
        <x:f>IFERROR(VLOOKUP("Short-term Liabilities",Inputs!$A$4:$C$29,2,FALSE)*365/VLOOKUP("Cost of Sales",Inputs!$A$4:$C$29,2,FALSE),"")</x:f>
        <x:v>185.30769230769232</x:v>
      </x:c>
      <x:c r="F35" s="14" t="str">
        <x:v>Attr32</x:v>
      </x:c>
      <x:c r="G35" s="14" t="str">
        <x:v>Supplier/liability turnover proxy.</x:v>
      </x:c>
    </x:row>
    <x:row r="36">
      <x:c r="A36" s="14" t="str">
        <x:v>Attr33</x:v>
      </x:c>
      <x:c r="B36" s="14" t="str">
        <x:v>Operating Expenses / Short-term Liabilities</x:v>
      </x:c>
      <x:c r="C36" s="14" t="str">
        <x:v>Liquidity</x:v>
      </x:c>
      <x:c r="D36" s="14" t="str">
        <x:v>Operating expense coverage</x:v>
      </x:c>
      <x:c r="E36" s="38" t="n">
        <x:f>IFERROR(VLOOKUP("Operating Expenses",Inputs!$A$4:$C$29,2,FALSE)/VLOOKUP("Short-term Liabilities",Inputs!$A$4:$C$29,2,FALSE),"")</x:f>
        <x:v>0.7575757575757576</x:v>
      </x:c>
      <x:c r="F36" s="14" t="str">
        <x:v>Attr33</x:v>
      </x:c>
      <x:c r="G36" s="14" t="str">
        <x:v>Operating expenses relative to current obligations.</x:v>
      </x:c>
    </x:row>
    <x:row r="37">
      <x:c r="A37" s="14" t="str">
        <x:v>Attr34</x:v>
      </x:c>
      <x:c r="B37" s="14" t="str">
        <x:v>Operating Expenses / Total Liabilities</x:v>
      </x:c>
      <x:c r="C37" s="14" t="str">
        <x:v>Leverage</x:v>
      </x:c>
      <x:c r="D37" s="14" t="str">
        <x:v>Operating expenses / total liabilities</x:v>
      </x:c>
      <x:c r="E37" s="38" t="n">
        <x:f>IFERROR(VLOOKUP("Operating Expenses",Inputs!$A$4:$C$29,2,FALSE)/VLOOKUP("Total Liabilities",Inputs!$A$4:$C$29,2,FALSE),"")</x:f>
        <x:v>0.3048780487804878</x:v>
      </x:c>
      <x:c r="F37" s="14" t="str">
        <x:v>Attr34</x:v>
      </x:c>
      <x:c r="G37" s="14" t="str">
        <x:v>Expense base vs liabilities.</x:v>
      </x:c>
    </x:row>
    <x:row r="38">
      <x:c r="A38" s="14" t="str">
        <x:v>Attr35</x:v>
      </x:c>
      <x:c r="B38" s="14" t="str">
        <x:v>Profit on Sales / Total Assets</x:v>
      </x:c>
      <x:c r="C38" s="14" t="str">
        <x:v>Profitability</x:v>
      </x:c>
      <x:c r="D38" s="14" t="str">
        <x:v>Sales profit / total assets</x:v>
      </x:c>
      <x:c r="E38" s="38" t="n">
        <x:f>IFERROR(VLOOKUP("Profit on Sales",Inputs!$A$4:$C$29,2,FALSE)/VLOOKUP("Total Assets",Inputs!$A$4:$C$29,2,FALSE),"")</x:f>
        <x:v>0.07142857142857142</x:v>
      </x:c>
      <x:c r="F38" s="14" t="str">
        <x:v>Attr35</x:v>
      </x:c>
      <x:c r="G38" s="14" t="str">
        <x:v>Sales profitability per asset.</x:v>
      </x:c>
    </x:row>
    <x:row r="39">
      <x:c r="A39" s="14" t="str">
        <x:v>Attr36</x:v>
      </x:c>
      <x:c r="B39" s="14" t="str">
        <x:v>Sales / Total Assets</x:v>
      </x:c>
      <x:c r="C39" s="14" t="str">
        <x:v>Efficiency</x:v>
      </x:c>
      <x:c r="D39" s="14" t="str">
        <x:v>Total sales / total assets</x:v>
      </x:c>
      <x:c r="E39" s="38" t="n">
        <x:f>IFERROR(VLOOKUP("Revenue / Sales",Inputs!$A$4:$C$29,2,FALSE)/VLOOKUP("Total Assets",Inputs!$A$4:$C$29,2,FALSE),"")</x:f>
        <x:v>0.7142857142857143</x:v>
      </x:c>
      <x:c r="F39" s="14" t="str">
        <x:v>Attr36</x:v>
      </x:c>
      <x:c r="G39" s="14" t="str">
        <x:v>Duplicate-like asset turnover; often dropped.</x:v>
      </x:c>
    </x:row>
    <x:row r="40">
      <x:c r="A40" s="14" t="str">
        <x:v>Attr37</x:v>
      </x:c>
      <x:c r="B40" s="14" t="str">
        <x:v>Quick Assets / Long-term Liabilities</x:v>
      </x:c>
      <x:c r="C40" s="14" t="str">
        <x:v>Liquidity</x:v>
      </x:c>
      <x:c r="D40" s="14" t="str">
        <x:v>(Current assets - inventory) / long-term liabilities</x:v>
      </x:c>
      <x:c r="E40" s="38" t="n">
        <x:f>IFERROR((VLOOKUP("Current Assets",Inputs!$A$4:$C$29,2,FALSE)-VLOOKUP("Inventory",Inputs!$A$4:$C$29,2,FALSE))/VLOOKUP("Long-term Liabilities",Inputs!$A$4:$C$29,2,FALSE),"")</x:f>
        <x:v>0.8367346938775511</x:v>
      </x:c>
      <x:c r="F40" s="14" t="str">
        <x:v>Attr37</x:v>
      </x:c>
      <x:c r="G40" s="14" t="str">
        <x:v>Often high missing in dataset; dropped by model.</x:v>
      </x:c>
    </x:row>
    <x:row r="41">
      <x:c r="A41" s="14" t="str">
        <x:v>Attr38</x:v>
      </x:c>
      <x:c r="B41" s="14" t="str">
        <x:v>Constant Capital / Total Assets</x:v>
      </x:c>
      <x:c r="C41" s="14" t="str">
        <x:v>Leverage</x:v>
      </x:c>
      <x:c r="D41" s="14" t="str">
        <x:v>Constant capital / total assets</x:v>
      </x:c>
      <x:c r="E41" s="38" t="n">
        <x:f>IFERROR(VLOOKUP("Constant Capital",Inputs!$A$4:$C$29,2,FALSE)/VLOOKUP("Total Assets",Inputs!$A$4:$C$29,2,FALSE),"")</x:f>
        <x:v>0.7642857142857142</x:v>
      </x:c>
      <x:c r="F41" s="14" t="str">
        <x:v>Attr38</x:v>
      </x:c>
      <x:c r="G41" s="14" t="str">
        <x:v>Long-term capital structure strength.</x:v>
      </x:c>
    </x:row>
    <x:row r="42">
      <x:c r="A42" s="14" t="str">
        <x:v>Attr39</x:v>
      </x:c>
      <x:c r="B42" s="14" t="str">
        <x:v>Profit on Sales / Sales</x:v>
      </x:c>
      <x:c r="C42" s="14" t="str">
        <x:v>Profitability</x:v>
      </x:c>
      <x:c r="D42" s="14" t="str">
        <x:v>Sales profit margin</x:v>
      </x:c>
      <x:c r="E42" s="38" t="n">
        <x:f>IFERROR(VLOOKUP("Profit on Sales",Inputs!$A$4:$C$29,2,FALSE)/VLOOKUP("Revenue / Sales",Inputs!$A$4:$C$29,2,FALSE),"")</x:f>
        <x:v>0.1</x:v>
      </x:c>
      <x:c r="F42" s="14" t="str">
        <x:v>Attr39</x:v>
      </x:c>
      <x:c r="G42" s="14" t="str">
        <x:v>Operating sales margin.</x:v>
      </x:c>
    </x:row>
    <x:row r="43">
      <x:c r="A43" s="14" t="str">
        <x:v>Attr40</x:v>
      </x:c>
      <x:c r="B43" s="14" t="str">
        <x:v>Cash Ratio</x:v>
      </x:c>
      <x:c r="C43" s="14" t="str">
        <x:v>Liquidity</x:v>
      </x:c>
      <x:c r="D43" s="14" t="str">
        <x:v>(Current assets - inventory - receivables) / short-term liabilities</x:v>
      </x:c>
      <x:c r="E43" s="38" t="n">
        <x:f>IFERROR((VLOOKUP("Current Assets",Inputs!$A$4:$C$29,2,FALSE)-VLOOKUP("Inventory",Inputs!$A$4:$C$29,2,FALSE)-VLOOKUP("Receivables",Inputs!$A$4:$C$29,2,FALSE))/VLOOKUP("Short-term Liabilities",Inputs!$A$4:$C$29,2,FALSE),"")</x:f>
        <x:v>0.8181818181818182</x:v>
      </x:c>
      <x:c r="F43" s="14" t="str">
        <x:v>Attr40</x:v>
      </x:c>
      <x:c r="G43" s="14" t="str">
        <x:v>Immediate liquidity coverage.</x:v>
      </x:c>
    </x:row>
    <x:row r="44">
      <x:c r="A44" s="14" t="str">
        <x:v>Attr41</x:v>
      </x:c>
      <x:c r="B44" s="14" t="str">
        <x:v>Liabilities / Daily EBITDA</x:v>
      </x:c>
      <x:c r="C44" s="14" t="str">
        <x:v>Leverage</x:v>
      </x:c>
      <x:c r="D44" s="14" t="str">
        <x:v>Total liabilities / (EBITDA × 12 / 365)</x:v>
      </x:c>
      <x:c r="E44" s="38" t="n">
        <x:f>IFERROR(VLOOKUP("Total Liabilities",Inputs!$A$4:$C$29,2,FALSE)/(VLOOKUP("EBITDA",Inputs!$A$4:$C$29,2,FALSE)*12/365),"")</x:f>
        <x:v>199.5333333333333</x:v>
      </x:c>
      <x:c r="F44" s="14" t="str">
        <x:v>Attr41</x:v>
      </x:c>
      <x:c r="G44" s="14" t="str">
        <x:v>High values indicate debt strain.</x:v>
      </x:c>
    </x:row>
    <x:row r="45">
      <x:c r="A45" s="14" t="str">
        <x:v>Attr42</x:v>
      </x:c>
      <x:c r="B45" s="14" t="str">
        <x:v>Operating Profit / Sales</x:v>
      </x:c>
      <x:c r="C45" s="14" t="str">
        <x:v>Profitability</x:v>
      </x:c>
      <x:c r="D45" s="14" t="str">
        <x:v>Operating margin</x:v>
      </x:c>
      <x:c r="E45" s="38" t="n">
        <x:f>IFERROR(VLOOKUP("Operating Profit / EBIT",Inputs!$A$4:$C$29,2,FALSE)/VLOOKUP("Revenue / Sales",Inputs!$A$4:$C$29,2,FALSE),"")</x:f>
        <x:v>0.095</x:v>
      </x:c>
      <x:c r="F45" s="14" t="str">
        <x:v>Attr42</x:v>
      </x:c>
      <x:c r="G45" s="14" t="str">
        <x:v>Core margin.</x:v>
      </x:c>
    </x:row>
    <x:row r="46">
      <x:c r="A46" s="14" t="str">
        <x:v>Attr43</x:v>
      </x:c>
      <x:c r="B46" s="14" t="str">
        <x:v>Receivable + Inventory Days</x:v>
      </x:c>
      <x:c r="C46" s="14" t="str">
        <x:v>Efficiency</x:v>
      </x:c>
      <x:c r="D46" s="14" t="str">
        <x:v>Attr44 + Attr20</x:v>
      </x:c>
      <x:c r="E46" s="38">
        <x:f>IFERROR(E46+E23,"")</x:f>
      </x:c>
      <x:c r="F46" s="14" t="str">
        <x:v>Attr43</x:v>
      </x:c>
      <x:c r="G46" s="14" t="str">
        <x:v>Working capital cycle proxy.</x:v>
      </x:c>
    </x:row>
    <x:row r="47">
      <x:c r="A47" s="14" t="str">
        <x:v>Attr44</x:v>
      </x:c>
      <x:c r="B47" s="14" t="str">
        <x:v>Days Receivable</x:v>
      </x:c>
      <x:c r="C47" s="14" t="str">
        <x:v>Efficiency</x:v>
      </x:c>
      <x:c r="D47" s="14" t="str">
        <x:v>Receivables × 365 / Sales</x:v>
      </x:c>
      <x:c r="E47" s="38" t="n">
        <x:f>IFERROR(VLOOKUP("Receivables",Inputs!$A$4:$C$29,2,FALSE)*365/VLOOKUP("Revenue / Sales",Inputs!$A$4:$C$29,2,FALSE),"")</x:f>
        <x:v>51.1</x:v>
      </x:c>
      <x:c r="F47" s="14" t="str">
        <x:v>Attr44</x:v>
      </x:c>
      <x:c r="G47" s="14" t="str">
        <x:v>Slow collections increase risk.</x:v>
      </x:c>
    </x:row>
    <x:row r="48">
      <x:c r="A48" s="14" t="str">
        <x:v>Attr45</x:v>
      </x:c>
      <x:c r="B48" s="14" t="str">
        <x:v>Net Profit / Inventory</x:v>
      </x:c>
      <x:c r="C48" s="14" t="str">
        <x:v>Efficiency</x:v>
      </x:c>
      <x:c r="D48" s="14" t="str">
        <x:v>Net profit / inventory</x:v>
      </x:c>
      <x:c r="E48" s="38" t="n">
        <x:f>IFERROR(VLOOKUP("Net Profit",Inputs!$A$4:$C$29,2,FALSE)/VLOOKUP("Inventory",Inputs!$A$4:$C$29,2,FALSE),"")</x:f>
        <x:v>0.5</x:v>
      </x:c>
      <x:c r="F48" s="14" t="str">
        <x:v>Attr45</x:v>
      </x:c>
      <x:c r="G48" s="14" t="str">
        <x:v>Profit generated relative to inventory.</x:v>
      </x:c>
    </x:row>
    <x:row r="49">
      <x:c r="A49" s="14" t="str">
        <x:v>Attr46</x:v>
      </x:c>
      <x:c r="B49" s="14" t="str">
        <x:v>Quick Ratio</x:v>
      </x:c>
      <x:c r="C49" s="14" t="str">
        <x:v>Liquidity</x:v>
      </x:c>
      <x:c r="D49" s="14" t="str">
        <x:v>(Current assets - inventory) / short-term liabilities</x:v>
      </x:c>
      <x:c r="E49" s="38" t="n">
        <x:f>IFERROR((VLOOKUP("Current Assets",Inputs!$A$4:$C$29,2,FALSE)-VLOOKUP("Inventory",Inputs!$A$4:$C$29,2,FALSE))/VLOOKUP("Short-term Liabilities",Inputs!$A$4:$C$29,2,FALSE),"")</x:f>
        <x:v>1.2424242424242424</x:v>
      </x:c>
      <x:c r="F49" s="14" t="str">
        <x:v>Attr46</x:v>
      </x:c>
      <x:c r="G49" s="14" t="str">
        <x:v>Short-term liquidity excluding inventory.</x:v>
      </x:c>
    </x:row>
    <x:row r="50">
      <x:c r="A50" s="14" t="str">
        <x:v>Attr47</x:v>
      </x:c>
      <x:c r="B50" s="14" t="str">
        <x:v>Inventory Days / COGS</x:v>
      </x:c>
      <x:c r="C50" s="14" t="str">
        <x:v>Efficiency</x:v>
      </x:c>
      <x:c r="D50" s="14" t="str">
        <x:v>Inventory × 365 / cost of sales</x:v>
      </x:c>
      <x:c r="E50" s="38" t="n">
        <x:f>IFERROR(VLOOKUP("Inventory",Inputs!$A$4:$C$29,2,FALSE)*365/VLOOKUP("Cost of Sales",Inputs!$A$4:$C$29,2,FALSE),"")</x:f>
        <x:v>61.76923076923077</x:v>
      </x:c>
      <x:c r="F50" s="14" t="str">
        <x:v>Attr47</x:v>
      </x:c>
      <x:c r="G50" s="14" t="str">
        <x:v>Inventory turnover against COGS.</x:v>
      </x:c>
    </x:row>
    <x:row r="51">
      <x:c r="A51" s="14" t="str">
        <x:v>Attr48</x:v>
      </x:c>
      <x:c r="B51" s="14" t="str">
        <x:v>EBIT after Depreciation / Assets</x:v>
      </x:c>
      <x:c r="C51" s="14" t="str">
        <x:v>Profitability</x:v>
      </x:c>
      <x:c r="D51" s="14" t="str">
        <x:v>(Operating profit - depreciation) / total assets</x:v>
      </x:c>
      <x:c r="E51" s="38" t="n">
        <x:f>IFERROR((VLOOKUP("Operating Profit / EBIT",Inputs!$A$4:$C$29,2,FALSE)-VLOOKUP("Depreciation",Inputs!$A$4:$C$29,2,FALSE))/VLOOKUP("Total Assets",Inputs!$A$4:$C$29,2,FALSE),"")</x:f>
        <x:v>0.04642857142857143</x:v>
      </x:c>
      <x:c r="F51" s="14" t="str">
        <x:v>Attr48</x:v>
      </x:c>
      <x:c r="G51" s="14" t="str">
        <x:v>Operating profit after depreciation.</x:v>
      </x:c>
    </x:row>
    <x:row r="52">
      <x:c r="A52" s="14" t="str">
        <x:v>Attr49</x:v>
      </x:c>
      <x:c r="B52" s="14" t="str">
        <x:v>EBIT after Depreciation / Sales</x:v>
      </x:c>
      <x:c r="C52" s="14" t="str">
        <x:v>Profitability</x:v>
      </x:c>
      <x:c r="D52" s="14" t="str">
        <x:v>(Operating profit - depreciation) / sales</x:v>
      </x:c>
      <x:c r="E52" s="38" t="n">
        <x:f>IFERROR((VLOOKUP("Operating Profit / EBIT",Inputs!$A$4:$C$29,2,FALSE)-VLOOKUP("Depreciation",Inputs!$A$4:$C$29,2,FALSE))/VLOOKUP("Revenue / Sales",Inputs!$A$4:$C$29,2,FALSE),"")</x:f>
        <x:v>0.065</x:v>
      </x:c>
      <x:c r="F52" s="14" t="str">
        <x:v>Attr49</x:v>
      </x:c>
      <x:c r="G52" s="14" t="str">
        <x:v>Operating margin after depreciation.</x:v>
      </x:c>
    </x:row>
    <x:row r="53">
      <x:c r="A53" s="14" t="str">
        <x:v>Attr50</x:v>
      </x:c>
      <x:c r="B53" s="14" t="str">
        <x:v>Current Assets / Total Liabilities</x:v>
      </x:c>
      <x:c r="C53" s="14" t="str">
        <x:v>Liquidity</x:v>
      </x:c>
      <x:c r="D53" s="14" t="str">
        <x:v>Current assets / total liabilities</x:v>
      </x:c>
      <x:c r="E53" s="38" t="n">
        <x:f>IFERROR(VLOOKUP("Current Assets",Inputs!$A$4:$C$29,2,FALSE)/VLOOKUP("Total Liabilities",Inputs!$A$4:$C$29,2,FALSE),"")</x:f>
        <x:v>0.6341463414634146</x:v>
      </x:c>
      <x:c r="F53" s="14" t="str">
        <x:v>Attr50</x:v>
      </x:c>
      <x:c r="G53" s="14" t="str">
        <x:v>Liquid assets relative to obligations.</x:v>
      </x:c>
    </x:row>
    <x:row r="54">
      <x:c r="A54" s="14" t="str">
        <x:v>Attr51</x:v>
      </x:c>
      <x:c r="B54" s="14" t="str">
        <x:v>Short-term Liabilities / Assets</x:v>
      </x:c>
      <x:c r="C54" s="14" t="str">
        <x:v>Leverage</x:v>
      </x:c>
      <x:c r="D54" s="14" t="str">
        <x:v>Short-term liabilities / total assets</x:v>
      </x:c>
      <x:c r="E54" s="38" t="n">
        <x:f>IFERROR(VLOOKUP("Short-term Liabilities",Inputs!$A$4:$C$29,2,FALSE)/VLOOKUP("Total Assets",Inputs!$A$4:$C$29,2,FALSE),"")</x:f>
        <x:v>0.2357142857142857</x:v>
      </x:c>
      <x:c r="F54" s="14" t="str">
        <x:v>Attr51</x:v>
      </x:c>
      <x:c r="G54" s="14" t="str">
        <x:v>Near-term debt intensity.</x:v>
      </x:c>
    </x:row>
    <x:row r="55">
      <x:c r="A55" s="14" t="str">
        <x:v>Attr52</x:v>
      </x:c>
      <x:c r="B55" s="14" t="str">
        <x:v>Short-term Liability Days / COGS</x:v>
      </x:c>
      <x:c r="C55" s="14" t="str">
        <x:v>Efficiency</x:v>
      </x:c>
      <x:c r="D55" s="14" t="str">
        <x:v>Short-term liabilities × 365 / cost of sales</x:v>
      </x:c>
      <x:c r="E55" s="38" t="n">
        <x:f>IFERROR(VLOOKUP("Short-term Liabilities",Inputs!$A$4:$C$29,2,FALSE)*365/VLOOKUP("Cost of Sales",Inputs!$A$4:$C$29,2,FALSE),"")</x:f>
        <x:v>185.30769230769232</x:v>
      </x:c>
      <x:c r="F55" s="14" t="str">
        <x:v>Attr52</x:v>
      </x:c>
      <x:c r="G55" s="14" t="str">
        <x:v>Current liability turnover proxy.</x:v>
      </x:c>
    </x:row>
    <x:row r="56">
      <x:c r="A56" s="14" t="str">
        <x:v>Attr53</x:v>
      </x:c>
      <x:c r="B56" s="14" t="str">
        <x:v>Equity / Fixed Assets</x:v>
      </x:c>
      <x:c r="C56" s="14" t="str">
        <x:v>Leverage</x:v>
      </x:c>
      <x:c r="D56" s="14" t="str">
        <x:v>Equity / fixed assets</x:v>
      </x:c>
      <x:c r="E56" s="38" t="n">
        <x:f>IFERROR(VLOOKUP("Equity",Inputs!$A$4:$C$29,2,FALSE)/VLOOKUP("Fixed Assets",Inputs!$A$4:$C$29,2,FALSE),"")</x:f>
        <x:v>0.8285714285714286</x:v>
      </x:c>
      <x:c r="F56" s="14" t="str">
        <x:v>Attr53</x:v>
      </x:c>
      <x:c r="G56" s="14" t="str">
        <x:v>Equity backing of fixed assets.</x:v>
      </x:c>
    </x:row>
    <x:row r="57">
      <x:c r="A57" s="14" t="str">
        <x:v>Attr54</x:v>
      </x:c>
      <x:c r="B57" s="14" t="str">
        <x:v>Constant Capital / Fixed Assets</x:v>
      </x:c>
      <x:c r="C57" s="14" t="str">
        <x:v>Leverage</x:v>
      </x:c>
      <x:c r="D57" s="14" t="str">
        <x:v>Constant capital / fixed assets</x:v>
      </x:c>
      <x:c r="E57" s="38" t="n">
        <x:f>IFERROR(VLOOKUP("Constant Capital",Inputs!$A$4:$C$29,2,FALSE)/VLOOKUP("Fixed Assets",Inputs!$A$4:$C$29,2,FALSE),"")</x:f>
        <x:v>1.5285714285714285</x:v>
      </x:c>
      <x:c r="F57" s="14" t="str">
        <x:v>Attr54</x:v>
      </x:c>
      <x:c r="G57" s="14" t="str">
        <x:v>Long-term capital coverage of fixed assets.</x:v>
      </x:c>
    </x:row>
    <x:row r="58">
      <x:c r="A58" s="14" t="str">
        <x:v>Attr55</x:v>
      </x:c>
      <x:c r="B58" s="14" t="str">
        <x:v>Working Capital</x:v>
      </x:c>
      <x:c r="C58" s="14" t="str">
        <x:v>Liquidity</x:v>
      </x:c>
      <x:c r="D58" s="14" t="str">
        <x:v>Absolute working capital</x:v>
      </x:c>
      <x:c r="E58" s="38" t="n">
        <x:f>IFERROR(VLOOKUP("Working Capital",Inputs!$A$4:$C$29,2,FALSE),"")</x:f>
        <x:v>190</x:v>
      </x:c>
      <x:c r="F58" s="14" t="str">
        <x:v>Attr55</x:v>
      </x:c>
      <x:c r="G58" s="14" t="str">
        <x:v>Absolute liquidity buffer.</x:v>
      </x:c>
    </x:row>
    <x:row r="59">
      <x:c r="A59" s="14" t="str">
        <x:v>Attr56</x:v>
      </x:c>
      <x:c r="B59" s="14" t="str">
        <x:v>Gross Margin</x:v>
      </x:c>
      <x:c r="C59" s="14" t="str">
        <x:v>Profitability</x:v>
      </x:c>
      <x:c r="D59" s="14" t="str">
        <x:v>(Sales - cost of sales) / sales</x:v>
      </x:c>
      <x:c r="E59" s="38" t="n">
        <x:f>IFERROR((VLOOKUP("Revenue / Sales",Inputs!$A$4:$C$29,2,FALSE)-VLOOKUP("Cost of Sales",Inputs!$A$4:$C$29,2,FALSE))/VLOOKUP("Revenue / Sales",Inputs!$A$4:$C$29,2,FALSE),"")</x:f>
        <x:v>0.35</x:v>
      </x:c>
      <x:c r="F59" s="14" t="str">
        <x:v>Attr56</x:v>
      </x:c>
      <x:c r="G59" s="14" t="str">
        <x:v>Gross margin; duplicate-like with Attr19.</x:v>
      </x:c>
    </x:row>
    <x:row r="60">
      <x:c r="A60" s="14" t="str">
        <x:v>Attr57</x:v>
      </x:c>
      <x:c r="B60" s="14" t="str">
        <x:v>Net Working Capital / Operating Cost</x:v>
      </x:c>
      <x:c r="C60" s="14" t="str">
        <x:v>Liquidity</x:v>
      </x:c>
      <x:c r="D60" s="14" t="str">
        <x:v>(Current assets - inventory - short-term liabilities)/(Sales - gross profit - depreciation)</x:v>
      </x:c>
      <x:c r="E60" s="38" t="n">
        <x:f>IFERROR((VLOOKUP("Current Assets",Inputs!$A$4:$C$29,2,FALSE)-VLOOKUP("Inventory",Inputs!$A$4:$C$29,2,FALSE)-VLOOKUP("Short-term Liabilities",Inputs!$A$4:$C$29,2,FALSE))/(VLOOKUP("Revenue / Sales",Inputs!$A$4:$C$29,2,FALSE)-VLOOKUP("Gross Profit",Inputs!$A$4:$C$29,2,FALSE)-VLOOKUP("Depreciation",Inputs!$A$4:$C$29,2,FALSE)),"")</x:f>
        <x:v>0.12903225806451613</x:v>
      </x:c>
      <x:c r="F60" s="14" t="str">
        <x:v>Attr57</x:v>
      </x:c>
      <x:c r="G60" s="14" t="str">
        <x:v>Working capital coverage of operating cost.</x:v>
      </x:c>
    </x:row>
    <x:row r="61">
      <x:c r="A61" s="14" t="str">
        <x:v>Attr58</x:v>
      </x:c>
      <x:c r="B61" s="14" t="str">
        <x:v>Cost Ratio</x:v>
      </x:c>
      <x:c r="C61" s="14" t="str">
        <x:v>Profitability</x:v>
      </x:c>
      <x:c r="D61" s="14" t="str">
        <x:v>Total costs / sales</x:v>
      </x:c>
      <x:c r="E61" s="38" t="n">
        <x:f>IFERROR((VLOOKUP("Cost of Sales",Inputs!$A$4:$C$29,2,FALSE)+VLOOKUP("Operating Expenses",Inputs!$A$4:$C$29,2,FALSE)+VLOOKUP("Financial Expenses / Interest",Inputs!$A$4:$C$29,2,FALSE))/VLOOKUP("Revenue / Sales",Inputs!$A$4:$C$29,2,FALSE),"")</x:f>
        <x:v>0.918</x:v>
      </x:c>
      <x:c r="F61" s="14" t="str">
        <x:v>Attr58</x:v>
      </x:c>
      <x:c r="G61" s="14" t="str">
        <x:v>Costs consuming revenue.</x:v>
      </x:c>
    </x:row>
    <x:row r="62">
      <x:c r="A62" s="14" t="str">
        <x:v>Attr59</x:v>
      </x:c>
      <x:c r="B62" s="14" t="str">
        <x:v>Long-term Liabilities / Equity</x:v>
      </x:c>
      <x:c r="C62" s="14" t="str">
        <x:v>Leverage</x:v>
      </x:c>
      <x:c r="D62" s="14" t="str">
        <x:v>Long-term liabilities / equity</x:v>
      </x:c>
      <x:c r="E62" s="38" t="n">
        <x:f>IFERROR(VLOOKUP("Long-term Liabilities",Inputs!$A$4:$C$29,2,FALSE)/VLOOKUP("Equity",Inputs!$A$4:$C$29,2,FALSE),"")</x:f>
        <x:v>0.8448275862068966</x:v>
      </x:c>
      <x:c r="F62" s="14" t="str">
        <x:v>Attr59</x:v>
      </x:c>
      <x:c r="G62" s="14" t="str">
        <x:v>Long-term leverage.</x:v>
      </x:c>
    </x:row>
    <x:row r="63">
      <x:c r="A63" s="14" t="str">
        <x:v>Attr60</x:v>
      </x:c>
      <x:c r="B63" s="14" t="str">
        <x:v>Sales / Inventory</x:v>
      </x:c>
      <x:c r="C63" s="14" t="str">
        <x:v>Efficiency</x:v>
      </x:c>
      <x:c r="D63" s="14" t="str">
        <x:v>Inventory turnover</x:v>
      </x:c>
      <x:c r="E63" s="38" t="n">
        <x:f>IFERROR(VLOOKUP("Revenue / Sales",Inputs!$A$4:$C$29,2,FALSE)/VLOOKUP("Inventory",Inputs!$A$4:$C$29,2,FALSE),"")</x:f>
        <x:v>9.090909090909092</x:v>
      </x:c>
      <x:c r="F63" s="14" t="str">
        <x:v>Attr60</x:v>
      </x:c>
      <x:c r="G63" s="14" t="str">
        <x:v>Sales generated per inventory unit.</x:v>
      </x:c>
    </x:row>
    <x:row r="64">
      <x:c r="A64" s="14" t="str">
        <x:v>Attr61</x:v>
      </x:c>
      <x:c r="B64" s="14" t="str">
        <x:v>Sales / Receivables</x:v>
      </x:c>
      <x:c r="C64" s="14" t="str">
        <x:v>Efficiency</x:v>
      </x:c>
      <x:c r="D64" s="14" t="str">
        <x:v>Receivables turnover</x:v>
      </x:c>
      <x:c r="E64" s="38" t="n">
        <x:f>IFERROR(VLOOKUP("Revenue / Sales",Inputs!$A$4:$C$29,2,FALSE)/VLOOKUP("Receivables",Inputs!$A$4:$C$29,2,FALSE),"")</x:f>
        <x:v>7.142857142857143</x:v>
      </x:c>
      <x:c r="F64" s="14" t="str">
        <x:v>Attr61</x:v>
      </x:c>
      <x:c r="G64" s="14" t="str">
        <x:v>Collection efficiency.</x:v>
      </x:c>
    </x:row>
    <x:row r="65">
      <x:c r="A65" s="14" t="str">
        <x:v>Attr62</x:v>
      </x:c>
      <x:c r="B65" s="14" t="str">
        <x:v>Short-term Liability Days / Sales</x:v>
      </x:c>
      <x:c r="C65" s="14" t="str">
        <x:v>Efficiency</x:v>
      </x:c>
      <x:c r="D65" s="14" t="str">
        <x:v>Short-term liabilities × 365 / sales</x:v>
      </x:c>
      <x:c r="E65" s="38" t="n">
        <x:f>IFERROR(VLOOKUP("Short-term Liabilities",Inputs!$A$4:$C$29,2,FALSE)*365/VLOOKUP("Revenue / Sales",Inputs!$A$4:$C$29,2,FALSE),"")</x:f>
        <x:v>120.45</x:v>
      </x:c>
      <x:c r="F65" s="14" t="str">
        <x:v>Attr62</x:v>
      </x:c>
      <x:c r="G65" s="14" t="str">
        <x:v>Near-term obligations relative to sales.</x:v>
      </x:c>
    </x:row>
    <x:row r="66">
      <x:c r="A66" s="14" t="str">
        <x:v>Attr63</x:v>
      </x:c>
      <x:c r="B66" s="14" t="str">
        <x:v>Sales / Short-term Liabilities</x:v>
      </x:c>
      <x:c r="C66" s="14" t="str">
        <x:v>Liquidity</x:v>
      </x:c>
      <x:c r="D66" s="14" t="str">
        <x:v>Sales / short-term liabilities</x:v>
      </x:c>
      <x:c r="E66" s="38" t="n">
        <x:f>IFERROR(VLOOKUP("Revenue / Sales",Inputs!$A$4:$C$29,2,FALSE)/VLOOKUP("Short-term Liabilities",Inputs!$A$4:$C$29,2,FALSE),"")</x:f>
        <x:v>3.0303030303030303</x:v>
      </x:c>
      <x:c r="F66" s="14" t="str">
        <x:v>Attr63</x:v>
      </x:c>
      <x:c r="G66" s="14" t="str">
        <x:v>Sales coverage of current liabilities.</x:v>
      </x:c>
    </x:row>
    <x:row r="67">
      <x:c r="A67" s="14" t="str">
        <x:v>Attr64</x:v>
      </x:c>
      <x:c r="B67" s="14" t="str">
        <x:v>Sales / Fixed Assets</x:v>
      </x:c>
      <x:c r="C67" s="14" t="str">
        <x:v>Efficiency</x:v>
      </x:c>
      <x:c r="D67" s="14" t="str">
        <x:v>Fixed asset turnover</x:v>
      </x:c>
      <x:c r="E67" s="38" t="n">
        <x:f>IFERROR(VLOOKUP("Revenue / Sales",Inputs!$A$4:$C$29,2,FALSE)/VLOOKUP("Fixed Assets",Inputs!$A$4:$C$29,2,FALSE),"")</x:f>
        <x:v>1.4285714285714286</x:v>
      </x:c>
      <x:c r="F67" s="14" t="str">
        <x:v>Attr64</x:v>
      </x:c>
      <x:c r="G67" s="14" t="str">
        <x:v>Revenue generated per fixed asset unit.</x:v>
      </x:c>
    </x:row>
  </x:sheetData>
  <x:mergeCells>
    <x:mergeCell ref="A1:G1"/>
  </x:mergeCells>
  <x:conditionalFormatting sqref="E4:E67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7a6c34a85641dc"/>
  </x:tableParts>
</x:worksheet>
</file>